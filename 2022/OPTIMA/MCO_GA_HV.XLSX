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evgeniy.kozinov\Downloads\"/>
    </mc:Choice>
  </mc:AlternateContent>
  <xr:revisionPtr revIDLastSave="0" documentId="13_ncr:1_{0EA2C7AF-1F56-4711-968D-007E1F234F3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Диаграмма3" sheetId="6" r:id="rId1"/>
    <sheet name="Лист1" sheetId="1" r:id="rId2"/>
    <sheet name="Диаграмма1" sheetId="4" r:id="rId3"/>
    <sheet name="Диаграмма2" sheetId="5" r:id="rId4"/>
    <sheet name="Лист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4" i="1" l="1"/>
  <c r="F24" i="1"/>
  <c r="G24" i="1"/>
  <c r="H24" i="1"/>
  <c r="I24" i="1"/>
  <c r="J24" i="1"/>
  <c r="D24" i="1"/>
  <c r="E23" i="1"/>
  <c r="F23" i="1"/>
  <c r="G23" i="1"/>
  <c r="H23" i="1"/>
  <c r="I23" i="1"/>
  <c r="J23" i="1"/>
  <c r="D23" i="1"/>
  <c r="E22" i="1"/>
  <c r="F22" i="1"/>
  <c r="G22" i="1"/>
  <c r="H22" i="1"/>
  <c r="I22" i="1"/>
  <c r="J22" i="1"/>
  <c r="D22" i="1"/>
  <c r="A24" i="1"/>
  <c r="A23" i="1"/>
  <c r="A22" i="1"/>
  <c r="A18" i="1"/>
  <c r="A19" i="1"/>
  <c r="A17" i="1"/>
  <c r="E18" i="1"/>
  <c r="F18" i="1"/>
  <c r="G18" i="1"/>
  <c r="H18" i="1"/>
  <c r="I18" i="1"/>
  <c r="J18" i="1"/>
  <c r="E17" i="1"/>
  <c r="F17" i="1"/>
  <c r="G17" i="1"/>
  <c r="H17" i="1"/>
  <c r="I17" i="1"/>
  <c r="J17" i="1"/>
  <c r="E19" i="1"/>
  <c r="F19" i="1"/>
  <c r="G19" i="1"/>
  <c r="H19" i="1"/>
  <c r="I19" i="1"/>
  <c r="J19" i="1"/>
  <c r="D19" i="1"/>
  <c r="D18" i="1"/>
  <c r="D17" i="1"/>
</calcChain>
</file>

<file path=xl/sharedStrings.xml><?xml version="1.0" encoding="utf-8"?>
<sst xmlns="http://schemas.openxmlformats.org/spreadsheetml/2006/main" count="93" uniqueCount="32">
  <si>
    <t>Задача</t>
  </si>
  <si>
    <t>N</t>
  </si>
  <si>
    <t>Число крит. (s)</t>
  </si>
  <si>
    <t>eps</t>
  </si>
  <si>
    <t>r</t>
  </si>
  <si>
    <t>lambda</t>
  </si>
  <si>
    <t>остановка</t>
  </si>
  <si>
    <t>Число повторений Ген. Алг</t>
  </si>
  <si>
    <t>точка HV</t>
  </si>
  <si>
    <t>GKLS</t>
  </si>
  <si>
    <t>по точности</t>
  </si>
  <si>
    <t>[2,2]</t>
  </si>
  <si>
    <t>Ф-ии</t>
  </si>
  <si>
    <t>Точность перебора (оценка области Парето)</t>
  </si>
  <si>
    <t>[2,2,2,2]</t>
  </si>
  <si>
    <t>Число задач</t>
  </si>
  <si>
    <t>Pareto</t>
  </si>
  <si>
    <t>OMOPSO</t>
  </si>
  <si>
    <t>SMPSO</t>
  </si>
  <si>
    <t>NSGAII</t>
  </si>
  <si>
    <t>SPEA2</t>
  </si>
  <si>
    <t>Максимальное число испытаний Ген. Алг</t>
  </si>
  <si>
    <t>Среднее число испытаний LocalMCO</t>
  </si>
  <si>
    <t>Task 1 (N=2, S=2)</t>
  </si>
  <si>
    <t>Task 2 (N=4, S=2)</t>
  </si>
  <si>
    <t>Task 3 (N=2, S=4)</t>
  </si>
  <si>
    <t>HV index</t>
  </si>
  <si>
    <t>IBEA</t>
  </si>
  <si>
    <t>RALR-DA</t>
  </si>
  <si>
    <t>S</t>
  </si>
  <si>
    <t>Legenda</t>
  </si>
  <si>
    <t>Relative difference of the HV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</si>
</sst>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rgb="FF59595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 readingOrder="1"/>
    </xf>
    <xf numFmtId="0" fontId="2" fillId="0" borderId="1" xfId="0" applyFont="1" applyFill="1" applyBorder="1" applyAlignment="1">
      <alignment horizontal="center" wrapText="1"/>
    </xf>
    <xf numFmtId="164" fontId="0" fillId="0" borderId="1" xfId="0" applyNumberFormat="1" applyBorder="1"/>
    <xf numFmtId="0" fontId="0" fillId="0" borderId="1" xfId="0" applyFill="1" applyBorder="1"/>
    <xf numFmtId="2" fontId="0" fillId="0" borderId="1" xfId="0" applyNumberFormat="1" applyBorder="1"/>
    <xf numFmtId="0" fontId="0" fillId="0" borderId="1" xfId="0" applyBorder="1" applyAlignment="1"/>
    <xf numFmtId="1" fontId="0" fillId="0" borderId="1" xfId="0" applyNumberFormat="1" applyFill="1" applyBorder="1" applyAlignment="1"/>
    <xf numFmtId="2" fontId="0" fillId="0" borderId="1" xfId="0" applyNumberFormat="1" applyBorder="1" applyAlignment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2.xml"/><Relationship Id="rId4" Type="http://schemas.openxmlformats.org/officeDocument/2006/relationships/chartsheet" Target="chartsheets/sheet3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Лист1!$J$8:$J$14</c:f>
              <c:strCache>
                <c:ptCount val="5"/>
                <c:pt idx="0">
                  <c:v>6.62</c:v>
                </c:pt>
                <c:pt idx="1">
                  <c:v>Pareto</c:v>
                </c:pt>
                <c:pt idx="2">
                  <c:v>5.04</c:v>
                </c:pt>
                <c:pt idx="3">
                  <c:v>Pareto</c:v>
                </c:pt>
                <c:pt idx="4">
                  <c:v>23.89</c:v>
                </c:pt>
              </c:strCache>
            </c:strRef>
          </c:cat>
          <c:val>
            <c:numRef>
              <c:f>Лист1!$K$8:$K$14</c:f>
              <c:numCache>
                <c:formatCode>General</c:formatCode>
                <c:ptCount val="7"/>
                <c:pt idx="0" formatCode="0.00">
                  <c:v>6.4415751699999984</c:v>
                </c:pt>
                <c:pt idx="1">
                  <c:v>0</c:v>
                </c:pt>
                <c:pt idx="2" formatCode="0.00">
                  <c:v>4.7067025999999998</c:v>
                </c:pt>
                <c:pt idx="3">
                  <c:v>0</c:v>
                </c:pt>
                <c:pt idx="4" formatCode="0.00">
                  <c:v>23.523059112390563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A-455B-92E1-3535E2FAE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97312"/>
        <c:axId val="128823680"/>
      </c:barChart>
      <c:catAx>
        <c:axId val="12879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128823680"/>
        <c:crosses val="autoZero"/>
        <c:auto val="1"/>
        <c:lblAlgn val="ctr"/>
        <c:lblOffset val="100"/>
        <c:noMultiLvlLbl val="0"/>
      </c:catAx>
      <c:valAx>
        <c:axId val="128823680"/>
        <c:scaling>
          <c:orientation val="minMax"/>
          <c:max val="25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Лист1!$A$6</c:f>
              <c:strCache>
                <c:ptCount val="1"/>
                <c:pt idx="0">
                  <c:v>HV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vert="horz"/>
            <a:lstStyle/>
            <a:p>
              <a:pPr>
                <a:defRPr b="0" i="0" baseline="0"/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128797312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 baseline="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Лист1!$A$17</c:f>
              <c:strCache>
                <c:ptCount val="1"/>
                <c:pt idx="0">
                  <c:v>N = 2; S=2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Лист1!$D$16:$J$16</c:f>
              <c:strCache>
                <c:ptCount val="7"/>
                <c:pt idx="0">
                  <c:v>Pareto</c:v>
                </c:pt>
                <c:pt idx="1">
                  <c:v>RALR-DA</c:v>
                </c:pt>
                <c:pt idx="2">
                  <c:v>OMOPSO</c:v>
                </c:pt>
                <c:pt idx="3">
                  <c:v>SMPSO</c:v>
                </c:pt>
                <c:pt idx="4">
                  <c:v>NSGAII</c:v>
                </c:pt>
                <c:pt idx="5">
                  <c:v>IBEA</c:v>
                </c:pt>
                <c:pt idx="6">
                  <c:v>SPEA2</c:v>
                </c:pt>
              </c:strCache>
            </c:strRef>
          </c:cat>
          <c:val>
            <c:numRef>
              <c:f>Лист1!$D$17:$J$17</c:f>
              <c:numCache>
                <c:formatCode>0.00</c:formatCode>
                <c:ptCount val="7"/>
                <c:pt idx="0">
                  <c:v>1.6543784681907738</c:v>
                </c:pt>
                <c:pt idx="1">
                  <c:v>1.6103937924999996</c:v>
                </c:pt>
                <c:pt idx="2">
                  <c:v>1.4827374728574907</c:v>
                </c:pt>
                <c:pt idx="3">
                  <c:v>1.4703168946293146</c:v>
                </c:pt>
                <c:pt idx="4">
                  <c:v>1.4267220494141413</c:v>
                </c:pt>
                <c:pt idx="5">
                  <c:v>1.4121688902724836</c:v>
                </c:pt>
                <c:pt idx="6">
                  <c:v>1.4036055473594846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4-42E4-8A5B-A3DE4D235BF6}"/>
            </c:ext>
          </c:extLst>
        </c:ser>
        <c:ser>
          <c:idx val="1"/>
          <c:order val="1"/>
          <c:tx>
            <c:strRef>
              <c:f>Лист1!$A$18</c:f>
              <c:strCache>
                <c:ptCount val="1"/>
                <c:pt idx="0">
                  <c:v>N = 4; S=2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Лист1!$D$16:$J$16</c:f>
              <c:strCache>
                <c:ptCount val="7"/>
                <c:pt idx="0">
                  <c:v>Pareto</c:v>
                </c:pt>
                <c:pt idx="1">
                  <c:v>RALR-DA</c:v>
                </c:pt>
                <c:pt idx="2">
                  <c:v>OMOPSO</c:v>
                </c:pt>
                <c:pt idx="3">
                  <c:v>SMPSO</c:v>
                </c:pt>
                <c:pt idx="4">
                  <c:v>NSGAII</c:v>
                </c:pt>
                <c:pt idx="5">
                  <c:v>IBEA</c:v>
                </c:pt>
                <c:pt idx="6">
                  <c:v>SPEA2</c:v>
                </c:pt>
              </c:strCache>
            </c:strRef>
          </c:cat>
          <c:val>
            <c:numRef>
              <c:f>Лист1!$D$18:$J$18</c:f>
              <c:numCache>
                <c:formatCode>0.00</c:formatCode>
                <c:ptCount val="7"/>
                <c:pt idx="0">
                  <c:v>1.2591391758549242</c:v>
                </c:pt>
                <c:pt idx="1">
                  <c:v>1.17667565</c:v>
                </c:pt>
                <c:pt idx="2">
                  <c:v>1.1116083136864243</c:v>
                </c:pt>
                <c:pt idx="3">
                  <c:v>1.0922583366572889</c:v>
                </c:pt>
                <c:pt idx="4">
                  <c:v>1.0962901380291292</c:v>
                </c:pt>
                <c:pt idx="5">
                  <c:v>1.0971996124406165</c:v>
                </c:pt>
                <c:pt idx="6">
                  <c:v>1.1314100533458107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E4-42E4-8A5B-A3DE4D235BF6}"/>
            </c:ext>
          </c:extLst>
        </c:ser>
        <c:ser>
          <c:idx val="2"/>
          <c:order val="2"/>
          <c:tx>
            <c:strRef>
              <c:f>Лист1!$A$19</c:f>
              <c:strCache>
                <c:ptCount val="1"/>
                <c:pt idx="0">
                  <c:v>N = 2; S=4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Лист1!$D$16:$J$16</c:f>
              <c:strCache>
                <c:ptCount val="7"/>
                <c:pt idx="0">
                  <c:v>Pareto</c:v>
                </c:pt>
                <c:pt idx="1">
                  <c:v>RALR-DA</c:v>
                </c:pt>
                <c:pt idx="2">
                  <c:v>OMOPSO</c:v>
                </c:pt>
                <c:pt idx="3">
                  <c:v>SMPSO</c:v>
                </c:pt>
                <c:pt idx="4">
                  <c:v>NSGAII</c:v>
                </c:pt>
                <c:pt idx="5">
                  <c:v>IBEA</c:v>
                </c:pt>
                <c:pt idx="6">
                  <c:v>SPEA2</c:v>
                </c:pt>
              </c:strCache>
            </c:strRef>
          </c:cat>
          <c:val>
            <c:numRef>
              <c:f>Лист1!$D$19:$J$19</c:f>
              <c:numCache>
                <c:formatCode>0.00</c:formatCode>
                <c:ptCount val="7"/>
                <c:pt idx="0">
                  <c:v>1.4929751429779599</c:v>
                </c:pt>
                <c:pt idx="1">
                  <c:v>1.4701911945244102</c:v>
                </c:pt>
                <c:pt idx="2">
                  <c:v>1.4295644731963006</c:v>
                </c:pt>
                <c:pt idx="3">
                  <c:v>1.4084078204444002</c:v>
                </c:pt>
                <c:pt idx="4">
                  <c:v>1.2389147032113823</c:v>
                </c:pt>
                <c:pt idx="5">
                  <c:v>1.2926077281555661</c:v>
                </c:pt>
                <c:pt idx="6">
                  <c:v>1.425109873548233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E4-42E4-8A5B-A3DE4D235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1880288"/>
        <c:axId val="1221878624"/>
      </c:barChart>
      <c:catAx>
        <c:axId val="122188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1878624"/>
        <c:crosses val="autoZero"/>
        <c:auto val="1"/>
        <c:lblAlgn val="ctr"/>
        <c:lblOffset val="100"/>
        <c:noMultiLvlLbl val="0"/>
      </c:catAx>
      <c:valAx>
        <c:axId val="122187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HV / S^2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188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Лист1!$A$22</c:f>
              <c:strCache>
                <c:ptCount val="1"/>
                <c:pt idx="0">
                  <c:v>N = 2; S=2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Лист1!$D$21:$J$21</c:f>
              <c:strCache>
                <c:ptCount val="7"/>
                <c:pt idx="0">
                  <c:v>Pareto</c:v>
                </c:pt>
                <c:pt idx="1">
                  <c:v>RALR-DA</c:v>
                </c:pt>
                <c:pt idx="2">
                  <c:v>OMOPSO</c:v>
                </c:pt>
                <c:pt idx="3">
                  <c:v>SMPSO</c:v>
                </c:pt>
                <c:pt idx="4">
                  <c:v>NSGAII</c:v>
                </c:pt>
                <c:pt idx="5">
                  <c:v>IBEA</c:v>
                </c:pt>
                <c:pt idx="6">
                  <c:v>SPEA2</c:v>
                </c:pt>
              </c:strCache>
            </c:strRef>
          </c:cat>
          <c:val>
            <c:numRef>
              <c:f>Лист1!$D$22:$J$22</c:f>
              <c:numCache>
                <c:formatCode>0.00</c:formatCode>
                <c:ptCount val="7"/>
                <c:pt idx="0">
                  <c:v>1</c:v>
                </c:pt>
                <c:pt idx="1">
                  <c:v>0.97341317205435107</c:v>
                </c:pt>
                <c:pt idx="2">
                  <c:v>0.89625046587979984</c:v>
                </c:pt>
                <c:pt idx="3">
                  <c:v>0.8887427652738078</c:v>
                </c:pt>
                <c:pt idx="4">
                  <c:v>0.86239157293578816</c:v>
                </c:pt>
                <c:pt idx="5">
                  <c:v>0.85359481970097795</c:v>
                </c:pt>
                <c:pt idx="6">
                  <c:v>0.84841865047631204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4-45B8-ACE1-C75DA941FF30}"/>
            </c:ext>
          </c:extLst>
        </c:ser>
        <c:ser>
          <c:idx val="1"/>
          <c:order val="1"/>
          <c:tx>
            <c:strRef>
              <c:f>Лист1!$A$23</c:f>
              <c:strCache>
                <c:ptCount val="1"/>
                <c:pt idx="0">
                  <c:v>N = 4; S=2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Лист1!$D$21:$J$21</c:f>
              <c:strCache>
                <c:ptCount val="7"/>
                <c:pt idx="0">
                  <c:v>Pareto</c:v>
                </c:pt>
                <c:pt idx="1">
                  <c:v>RALR-DA</c:v>
                </c:pt>
                <c:pt idx="2">
                  <c:v>OMOPSO</c:v>
                </c:pt>
                <c:pt idx="3">
                  <c:v>SMPSO</c:v>
                </c:pt>
                <c:pt idx="4">
                  <c:v>NSGAII</c:v>
                </c:pt>
                <c:pt idx="5">
                  <c:v>IBEA</c:v>
                </c:pt>
                <c:pt idx="6">
                  <c:v>SPEA2</c:v>
                </c:pt>
              </c:strCache>
            </c:strRef>
          </c:cat>
          <c:val>
            <c:numRef>
              <c:f>Лист1!$D$23:$J$23</c:f>
              <c:numCache>
                <c:formatCode>0.00</c:formatCode>
                <c:ptCount val="7"/>
                <c:pt idx="0">
                  <c:v>1</c:v>
                </c:pt>
                <c:pt idx="1">
                  <c:v>0.93450801354112933</c:v>
                </c:pt>
                <c:pt idx="2">
                  <c:v>0.88283196568137112</c:v>
                </c:pt>
                <c:pt idx="3">
                  <c:v>0.86746434199037026</c:v>
                </c:pt>
                <c:pt idx="4">
                  <c:v>0.87066637195588448</c:v>
                </c:pt>
                <c:pt idx="5">
                  <c:v>0.87138867051423863</c:v>
                </c:pt>
                <c:pt idx="6">
                  <c:v>0.89855837626337964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84-45B8-ACE1-C75DA941FF30}"/>
            </c:ext>
          </c:extLst>
        </c:ser>
        <c:ser>
          <c:idx val="2"/>
          <c:order val="2"/>
          <c:tx>
            <c:strRef>
              <c:f>Лист1!$A$24</c:f>
              <c:strCache>
                <c:ptCount val="1"/>
                <c:pt idx="0">
                  <c:v>N = 2; S=4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Лист1!$D$21:$J$21</c:f>
              <c:strCache>
                <c:ptCount val="7"/>
                <c:pt idx="0">
                  <c:v>Pareto</c:v>
                </c:pt>
                <c:pt idx="1">
                  <c:v>RALR-DA</c:v>
                </c:pt>
                <c:pt idx="2">
                  <c:v>OMOPSO</c:v>
                </c:pt>
                <c:pt idx="3">
                  <c:v>SMPSO</c:v>
                </c:pt>
                <c:pt idx="4">
                  <c:v>NSGAII</c:v>
                </c:pt>
                <c:pt idx="5">
                  <c:v>IBEA</c:v>
                </c:pt>
                <c:pt idx="6">
                  <c:v>SPEA2</c:v>
                </c:pt>
              </c:strCache>
            </c:strRef>
          </c:cat>
          <c:val>
            <c:numRef>
              <c:f>Лист1!$D$24:$J$24</c:f>
              <c:numCache>
                <c:formatCode>0.00</c:formatCode>
                <c:ptCount val="7"/>
                <c:pt idx="0">
                  <c:v>1</c:v>
                </c:pt>
                <c:pt idx="1">
                  <c:v>0.98473923121847584</c:v>
                </c:pt>
                <c:pt idx="2">
                  <c:v>0.95752731043118555</c:v>
                </c:pt>
                <c:pt idx="3">
                  <c:v>0.9433565100321244</c:v>
                </c:pt>
                <c:pt idx="4">
                  <c:v>0.8298294241792824</c:v>
                </c:pt>
                <c:pt idx="5">
                  <c:v>0.86579320106915425</c:v>
                </c:pt>
                <c:pt idx="6">
                  <c:v>0.95454360392473814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84-45B8-ACE1-C75DA941F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1624576"/>
        <c:axId val="1301628320"/>
      </c:barChart>
      <c:catAx>
        <c:axId val="130162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1628320"/>
        <c:crosses val="autoZero"/>
        <c:auto val="1"/>
        <c:lblAlgn val="ctr"/>
        <c:lblOffset val="100"/>
        <c:noMultiLvlLbl val="0"/>
      </c:catAx>
      <c:valAx>
        <c:axId val="130162832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Лист1!$A$20</c:f>
              <c:strCache>
                <c:ptCount val="1"/>
                <c:pt idx="0">
                  <c:v>Relative difference of the HV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162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Лист1!$A$8:$A$14</c:f>
              <c:strCache>
                <c:ptCount val="7"/>
                <c:pt idx="0">
                  <c:v>Pareto</c:v>
                </c:pt>
                <c:pt idx="1">
                  <c:v>RALR-DA</c:v>
                </c:pt>
                <c:pt idx="2">
                  <c:v>OMOPSO</c:v>
                </c:pt>
                <c:pt idx="3">
                  <c:v>SMPSO</c:v>
                </c:pt>
                <c:pt idx="4">
                  <c:v>NSGAII</c:v>
                </c:pt>
                <c:pt idx="5">
                  <c:v>IBEA</c:v>
                </c:pt>
                <c:pt idx="6">
                  <c:v>SPEA2</c:v>
                </c:pt>
              </c:strCache>
            </c:strRef>
          </c:cat>
          <c:val>
            <c:numRef>
              <c:f>Лист1!$B$8:$B$14</c:f>
              <c:numCache>
                <c:formatCode>0.00</c:formatCode>
                <c:ptCount val="7"/>
                <c:pt idx="0">
                  <c:v>6.6175138727630953</c:v>
                </c:pt>
                <c:pt idx="1">
                  <c:v>6.4415751699999984</c:v>
                </c:pt>
                <c:pt idx="2">
                  <c:v>5.9309498914299628</c:v>
                </c:pt>
                <c:pt idx="3">
                  <c:v>5.8812675785172583</c:v>
                </c:pt>
                <c:pt idx="4">
                  <c:v>5.7068881976565651</c:v>
                </c:pt>
                <c:pt idx="5">
                  <c:v>5.6486755610899344</c:v>
                </c:pt>
                <c:pt idx="6">
                  <c:v>5.6144221894379385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5-408C-99E5-378B0E6AD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17792"/>
        <c:axId val="130419328"/>
      </c:barChart>
      <c:catAx>
        <c:axId val="13041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130419328"/>
        <c:crosses val="autoZero"/>
        <c:auto val="1"/>
        <c:lblAlgn val="ctr"/>
        <c:lblOffset val="100"/>
        <c:noMultiLvlLbl val="0"/>
      </c:catAx>
      <c:valAx>
        <c:axId val="130419328"/>
        <c:scaling>
          <c:orientation val="minMax"/>
          <c:max val="7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Лист1!$A$6</c:f>
              <c:strCache>
                <c:ptCount val="1"/>
                <c:pt idx="0">
                  <c:v>HV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vert="horz"/>
            <a:lstStyle/>
            <a:p>
              <a:pPr>
                <a:defRPr b="0" i="0" baseline="0"/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13041779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 baseline="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Лист1!$H$8:$H$14</c:f>
              <c:numCache>
                <c:formatCode>General</c:formatCode>
                <c:ptCount val="7"/>
              </c:numCache>
            </c:numRef>
          </c:cat>
          <c:val>
            <c:numRef>
              <c:f>Лист1!$I$8:$I$14</c:f>
              <c:numCache>
                <c:formatCode>General</c:formatCode>
                <c:ptCount val="7"/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2-48FE-A32A-B97089C86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40192"/>
        <c:axId val="130454272"/>
      </c:barChart>
      <c:catAx>
        <c:axId val="13044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130454272"/>
        <c:crosses val="autoZero"/>
        <c:auto val="1"/>
        <c:lblAlgn val="ctr"/>
        <c:lblOffset val="100"/>
        <c:noMultiLvlLbl val="0"/>
      </c:catAx>
      <c:valAx>
        <c:axId val="13045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Лист1!$A$6</c:f>
              <c:strCache>
                <c:ptCount val="1"/>
                <c:pt idx="0">
                  <c:v>HV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vert="horz"/>
            <a:lstStyle/>
            <a:p>
              <a:pPr>
                <a:defRPr b="0" i="0" baseline="0"/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13044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 baseline="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08" workbookViewId="0" zoomToFit="1"/>
  </sheetViews>
  <pageMargins left="0" right="0" top="0" bottom="0" header="0.31496062992125984" footer="0.31496062992125984"/>
  <pageSetup paperSize="9" orientation="landscape" horizontalDpi="4294967293" verticalDpi="4294967293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08" workbookViewId="0" zoomToFit="1"/>
  </sheetViews>
  <pageMargins left="0" right="0" top="0" bottom="0" header="0.31496062992125984" footer="0.31496062992125984"/>
  <pageSetup paperSize="9" orientation="landscape" horizontalDpi="4294967293" verticalDpi="4294967293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08" workbookViewId="0" zoomToFit="1"/>
  </sheetViews>
  <pageMargins left="0" right="0" top="0" bottom="0" header="0.31496062992125984" footer="0.31496062992125984"/>
  <pageSetup paperSize="9" orientation="landscape" horizontalDpi="4294967293" verticalDpi="4294967293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-1" y="0"/>
    <xdr:ext cx="10337683" cy="7218028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5</xdr:row>
      <xdr:rowOff>15240</xdr:rowOff>
    </xdr:from>
    <xdr:to>
      <xdr:col>9</xdr:col>
      <xdr:colOff>769620</xdr:colOff>
      <xdr:row>20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7A81DEB-72B7-6F1C-1B17-9AA9A5F01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83820</xdr:colOff>
      <xdr:row>5</xdr:row>
      <xdr:rowOff>15240</xdr:rowOff>
    </xdr:from>
    <xdr:to>
      <xdr:col>14</xdr:col>
      <xdr:colOff>594360</xdr:colOff>
      <xdr:row>21</xdr:row>
      <xdr:rowOff>45720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DC60720-257F-FB44-029A-D0E943C7C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-1"/>
    <xdr:ext cx="10328946" cy="723550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0320206" cy="7226766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tabSelected="1" workbookViewId="0">
      <selection activeCell="L24" sqref="L24"/>
    </sheetView>
  </sheetViews>
  <sheetFormatPr defaultRowHeight="14.4" x14ac:dyDescent="0.3"/>
  <cols>
    <col min="1" max="9" width="10.44140625" customWidth="1"/>
    <col min="10" max="10" width="11.6640625" customWidth="1"/>
    <col min="11" max="11" width="15.44140625" customWidth="1"/>
    <col min="12" max="12" width="10.44140625" customWidth="1"/>
    <col min="13" max="14" width="16.6640625" customWidth="1"/>
  </cols>
  <sheetData>
    <row r="1" spans="1:16" ht="57.6" x14ac:dyDescent="0.3">
      <c r="A1" s="3" t="s">
        <v>0</v>
      </c>
      <c r="B1" s="3" t="s">
        <v>12</v>
      </c>
      <c r="C1" s="3" t="s">
        <v>15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13</v>
      </c>
      <c r="L1" s="3" t="s">
        <v>8</v>
      </c>
      <c r="M1" s="5" t="s">
        <v>21</v>
      </c>
      <c r="N1" s="5" t="s">
        <v>22</v>
      </c>
    </row>
    <row r="2" spans="1:16" x14ac:dyDescent="0.3">
      <c r="A2" s="1">
        <v>1</v>
      </c>
      <c r="B2" s="2" t="s">
        <v>9</v>
      </c>
      <c r="C2" s="2">
        <v>100</v>
      </c>
      <c r="D2" s="2">
        <v>2</v>
      </c>
      <c r="E2" s="2">
        <v>2</v>
      </c>
      <c r="F2" s="2">
        <v>0.05</v>
      </c>
      <c r="G2" s="2">
        <v>5.6</v>
      </c>
      <c r="H2" s="2">
        <v>50</v>
      </c>
      <c r="I2" s="2" t="s">
        <v>10</v>
      </c>
      <c r="J2" s="2">
        <v>10</v>
      </c>
      <c r="K2" s="2">
        <v>0.01</v>
      </c>
      <c r="L2" s="2" t="s">
        <v>11</v>
      </c>
      <c r="M2" s="1">
        <v>250</v>
      </c>
      <c r="N2" s="6">
        <v>229.83</v>
      </c>
    </row>
    <row r="3" spans="1:16" x14ac:dyDescent="0.3">
      <c r="A3" s="1">
        <v>2</v>
      </c>
      <c r="B3" s="1" t="s">
        <v>9</v>
      </c>
      <c r="C3" s="1">
        <v>10</v>
      </c>
      <c r="D3" s="1">
        <v>4</v>
      </c>
      <c r="E3" s="1">
        <v>2</v>
      </c>
      <c r="F3" s="1">
        <v>0.05</v>
      </c>
      <c r="G3" s="1">
        <v>5.6</v>
      </c>
      <c r="H3" s="1">
        <v>100</v>
      </c>
      <c r="I3" s="1" t="s">
        <v>10</v>
      </c>
      <c r="J3" s="1">
        <v>10</v>
      </c>
      <c r="K3" s="1">
        <v>0.05</v>
      </c>
      <c r="L3" s="1" t="s">
        <v>11</v>
      </c>
      <c r="M3" s="7">
        <v>4000</v>
      </c>
      <c r="N3" s="1">
        <v>4015.4</v>
      </c>
    </row>
    <row r="4" spans="1:16" x14ac:dyDescent="0.3">
      <c r="A4" s="1">
        <v>3</v>
      </c>
      <c r="B4" s="1" t="s">
        <v>9</v>
      </c>
      <c r="C4" s="1">
        <v>10</v>
      </c>
      <c r="D4" s="1">
        <v>2</v>
      </c>
      <c r="E4" s="1">
        <v>4</v>
      </c>
      <c r="F4" s="1">
        <v>0.01</v>
      </c>
      <c r="G4" s="1">
        <v>5.6</v>
      </c>
      <c r="H4" s="1">
        <v>100</v>
      </c>
      <c r="I4" s="1" t="s">
        <v>10</v>
      </c>
      <c r="J4" s="1">
        <v>10</v>
      </c>
      <c r="K4" s="2">
        <v>0.01</v>
      </c>
      <c r="L4" s="1" t="s">
        <v>14</v>
      </c>
      <c r="M4" s="7">
        <v>2200</v>
      </c>
      <c r="N4" s="1">
        <v>2094.1</v>
      </c>
    </row>
    <row r="6" spans="1:16" ht="15.6" x14ac:dyDescent="0.3">
      <c r="A6" s="4" t="s">
        <v>26</v>
      </c>
    </row>
    <row r="7" spans="1:16" x14ac:dyDescent="0.3">
      <c r="A7" s="12" t="s">
        <v>23</v>
      </c>
      <c r="B7" s="12"/>
      <c r="C7" s="12" t="s">
        <v>24</v>
      </c>
      <c r="D7" s="12"/>
      <c r="E7" s="12" t="s">
        <v>25</v>
      </c>
      <c r="F7" s="12"/>
      <c r="I7" s="12" t="s">
        <v>23</v>
      </c>
      <c r="J7" s="1" t="s">
        <v>16</v>
      </c>
      <c r="K7" s="1" t="s">
        <v>28</v>
      </c>
      <c r="L7" s="1" t="s">
        <v>17</v>
      </c>
      <c r="M7" s="1" t="s">
        <v>18</v>
      </c>
      <c r="N7" s="1" t="s">
        <v>19</v>
      </c>
      <c r="O7" s="1" t="s">
        <v>27</v>
      </c>
      <c r="P7" s="1" t="s">
        <v>20</v>
      </c>
    </row>
    <row r="8" spans="1:16" x14ac:dyDescent="0.3">
      <c r="A8" s="1" t="s">
        <v>16</v>
      </c>
      <c r="B8" s="8">
        <v>6.6175138727630953</v>
      </c>
      <c r="C8" s="1" t="s">
        <v>16</v>
      </c>
      <c r="D8" s="8">
        <v>5.0365567034196967</v>
      </c>
      <c r="E8" s="1" t="s">
        <v>16</v>
      </c>
      <c r="F8" s="8">
        <v>23.887602287647358</v>
      </c>
      <c r="I8" s="12"/>
      <c r="J8" s="8">
        <v>6.6175138727630953</v>
      </c>
      <c r="K8" s="8">
        <v>6.4415751699999984</v>
      </c>
      <c r="L8" s="8">
        <v>5.9309498914299628</v>
      </c>
      <c r="M8" s="8">
        <v>5.8812675785172583</v>
      </c>
      <c r="N8" s="8">
        <v>5.7068881976565651</v>
      </c>
      <c r="O8" s="8">
        <v>5.6486755610899344</v>
      </c>
      <c r="P8" s="8">
        <v>5.6144221894379385</v>
      </c>
    </row>
    <row r="9" spans="1:16" x14ac:dyDescent="0.3">
      <c r="A9" s="1" t="s">
        <v>28</v>
      </c>
      <c r="B9" s="8">
        <v>6.4415751699999984</v>
      </c>
      <c r="C9" s="1" t="s">
        <v>28</v>
      </c>
      <c r="D9" s="8">
        <v>4.7067025999999998</v>
      </c>
      <c r="E9" s="1" t="s">
        <v>28</v>
      </c>
      <c r="F9" s="8">
        <v>23.523059112390563</v>
      </c>
      <c r="I9" s="12" t="s">
        <v>24</v>
      </c>
      <c r="J9" s="1" t="s">
        <v>16</v>
      </c>
      <c r="K9" s="1" t="s">
        <v>28</v>
      </c>
      <c r="L9" s="1" t="s">
        <v>17</v>
      </c>
      <c r="M9" s="1" t="s">
        <v>18</v>
      </c>
      <c r="N9" s="1" t="s">
        <v>19</v>
      </c>
      <c r="O9" s="1" t="s">
        <v>27</v>
      </c>
      <c r="P9" s="1" t="s">
        <v>20</v>
      </c>
    </row>
    <row r="10" spans="1:16" x14ac:dyDescent="0.3">
      <c r="A10" s="1" t="s">
        <v>17</v>
      </c>
      <c r="B10" s="8">
        <v>5.9309498914299628</v>
      </c>
      <c r="C10" s="1" t="s">
        <v>17</v>
      </c>
      <c r="D10" s="8">
        <v>4.4464332547456973</v>
      </c>
      <c r="E10" s="1" t="s">
        <v>17</v>
      </c>
      <c r="F10" s="8">
        <v>22.87303157114081</v>
      </c>
      <c r="I10" s="12"/>
      <c r="J10" s="8">
        <v>5.0365567034196967</v>
      </c>
      <c r="K10" s="8">
        <v>4.7067025999999998</v>
      </c>
      <c r="L10" s="8">
        <v>4.4464332547456973</v>
      </c>
      <c r="M10" s="8">
        <v>4.3690333466291555</v>
      </c>
      <c r="N10" s="8">
        <v>4.3851605521165169</v>
      </c>
      <c r="O10" s="8">
        <v>4.3887984497624659</v>
      </c>
      <c r="P10" s="8">
        <v>4.5256402133832427</v>
      </c>
    </row>
    <row r="11" spans="1:16" x14ac:dyDescent="0.3">
      <c r="A11" s="1" t="s">
        <v>18</v>
      </c>
      <c r="B11" s="8">
        <v>5.8812675785172583</v>
      </c>
      <c r="C11" s="1" t="s">
        <v>18</v>
      </c>
      <c r="D11" s="8">
        <v>4.3690333466291555</v>
      </c>
      <c r="E11" s="1" t="s">
        <v>18</v>
      </c>
      <c r="F11" s="8">
        <v>22.534525127110403</v>
      </c>
      <c r="I11" s="12" t="s">
        <v>25</v>
      </c>
      <c r="J11" s="1" t="s">
        <v>16</v>
      </c>
      <c r="K11" s="1" t="s">
        <v>28</v>
      </c>
      <c r="L11" s="1" t="s">
        <v>17</v>
      </c>
      <c r="M11" s="1" t="s">
        <v>18</v>
      </c>
      <c r="N11" s="1" t="s">
        <v>19</v>
      </c>
      <c r="O11" s="1" t="s">
        <v>27</v>
      </c>
      <c r="P11" s="1" t="s">
        <v>20</v>
      </c>
    </row>
    <row r="12" spans="1:16" x14ac:dyDescent="0.3">
      <c r="A12" s="1" t="s">
        <v>19</v>
      </c>
      <c r="B12" s="8">
        <v>5.7068881976565651</v>
      </c>
      <c r="C12" s="1" t="s">
        <v>19</v>
      </c>
      <c r="D12" s="8">
        <v>4.3851605521165169</v>
      </c>
      <c r="E12" s="1" t="s">
        <v>19</v>
      </c>
      <c r="F12" s="8">
        <v>19.822635251382117</v>
      </c>
      <c r="I12" s="12"/>
      <c r="J12" s="8">
        <v>23.887602287647358</v>
      </c>
      <c r="K12" s="8">
        <v>23.523059112390563</v>
      </c>
      <c r="L12" s="8">
        <v>22.87303157114081</v>
      </c>
      <c r="M12" s="8">
        <v>22.534525127110403</v>
      </c>
      <c r="N12" s="8">
        <v>19.822635251382117</v>
      </c>
      <c r="O12" s="8">
        <v>20.681723650489058</v>
      </c>
      <c r="P12" s="8">
        <v>22.801757976771729</v>
      </c>
    </row>
    <row r="13" spans="1:16" x14ac:dyDescent="0.3">
      <c r="A13" s="1" t="s">
        <v>27</v>
      </c>
      <c r="B13" s="8">
        <v>5.6486755610899344</v>
      </c>
      <c r="C13" s="1" t="s">
        <v>27</v>
      </c>
      <c r="D13" s="8">
        <v>4.3887984497624659</v>
      </c>
      <c r="E13" s="1" t="s">
        <v>27</v>
      </c>
      <c r="F13" s="8">
        <v>20.681723650489058</v>
      </c>
    </row>
    <row r="14" spans="1:16" x14ac:dyDescent="0.3">
      <c r="A14" s="1" t="s">
        <v>20</v>
      </c>
      <c r="B14" s="8">
        <v>5.6144221894379385</v>
      </c>
      <c r="C14" s="1" t="s">
        <v>20</v>
      </c>
      <c r="D14" s="8">
        <v>4.5256402133832427</v>
      </c>
      <c r="E14" s="1" t="s">
        <v>20</v>
      </c>
      <c r="F14" s="8">
        <v>22.801757976771729</v>
      </c>
    </row>
    <row r="16" spans="1:16" x14ac:dyDescent="0.3">
      <c r="A16" t="s">
        <v>30</v>
      </c>
      <c r="B16" s="9" t="s">
        <v>1</v>
      </c>
      <c r="C16" s="9" t="s">
        <v>29</v>
      </c>
      <c r="D16" s="1" t="s">
        <v>16</v>
      </c>
      <c r="E16" s="1" t="s">
        <v>28</v>
      </c>
      <c r="F16" s="1" t="s">
        <v>17</v>
      </c>
      <c r="G16" s="1" t="s">
        <v>18</v>
      </c>
      <c r="H16" s="1" t="s">
        <v>19</v>
      </c>
      <c r="I16" s="1" t="s">
        <v>27</v>
      </c>
      <c r="J16" s="1" t="s">
        <v>20</v>
      </c>
    </row>
    <row r="17" spans="1:10" x14ac:dyDescent="0.3">
      <c r="A17" t="str">
        <f>"N = "&amp;B17&amp;"; S="&amp;C17</f>
        <v>N = 2; S=2</v>
      </c>
      <c r="B17" s="9">
        <v>2</v>
      </c>
      <c r="C17" s="10">
        <v>2</v>
      </c>
      <c r="D17" s="11">
        <f t="shared" ref="D17:J17" si="0">J8/($C17*$C17)</f>
        <v>1.6543784681907738</v>
      </c>
      <c r="E17" s="11">
        <f t="shared" si="0"/>
        <v>1.6103937924999996</v>
      </c>
      <c r="F17" s="11">
        <f t="shared" si="0"/>
        <v>1.4827374728574907</v>
      </c>
      <c r="G17" s="11">
        <f t="shared" si="0"/>
        <v>1.4703168946293146</v>
      </c>
      <c r="H17" s="11">
        <f t="shared" si="0"/>
        <v>1.4267220494141413</v>
      </c>
      <c r="I17" s="11">
        <f t="shared" si="0"/>
        <v>1.4121688902724836</v>
      </c>
      <c r="J17" s="11">
        <f t="shared" si="0"/>
        <v>1.4036055473594846</v>
      </c>
    </row>
    <row r="18" spans="1:10" x14ac:dyDescent="0.3">
      <c r="A18" t="str">
        <f t="shared" ref="A18:A19" si="1">"N = "&amp;B18&amp;"; S="&amp;C18</f>
        <v>N = 4; S=2</v>
      </c>
      <c r="B18" s="1">
        <v>4</v>
      </c>
      <c r="C18" s="10">
        <v>2</v>
      </c>
      <c r="D18" s="11">
        <f t="shared" ref="D18:J18" si="2">J10/($C18*$C18)</f>
        <v>1.2591391758549242</v>
      </c>
      <c r="E18" s="11">
        <f t="shared" si="2"/>
        <v>1.17667565</v>
      </c>
      <c r="F18" s="11">
        <f t="shared" si="2"/>
        <v>1.1116083136864243</v>
      </c>
      <c r="G18" s="11">
        <f t="shared" si="2"/>
        <v>1.0922583366572889</v>
      </c>
      <c r="H18" s="11">
        <f t="shared" si="2"/>
        <v>1.0962901380291292</v>
      </c>
      <c r="I18" s="11">
        <f t="shared" si="2"/>
        <v>1.0971996124406165</v>
      </c>
      <c r="J18" s="11">
        <f t="shared" si="2"/>
        <v>1.1314100533458107</v>
      </c>
    </row>
    <row r="19" spans="1:10" x14ac:dyDescent="0.3">
      <c r="A19" t="str">
        <f t="shared" si="1"/>
        <v>N = 2; S=4</v>
      </c>
      <c r="B19" s="1">
        <v>2</v>
      </c>
      <c r="C19" s="10">
        <v>4</v>
      </c>
      <c r="D19" s="11">
        <f t="shared" ref="D19:J19" si="3">J12/($C19*$C19)</f>
        <v>1.4929751429779599</v>
      </c>
      <c r="E19" s="11">
        <f t="shared" si="3"/>
        <v>1.4701911945244102</v>
      </c>
      <c r="F19" s="11">
        <f t="shared" si="3"/>
        <v>1.4295644731963006</v>
      </c>
      <c r="G19" s="11">
        <f t="shared" si="3"/>
        <v>1.4084078204444002</v>
      </c>
      <c r="H19" s="11">
        <f t="shared" si="3"/>
        <v>1.2389147032113823</v>
      </c>
      <c r="I19" s="11">
        <f t="shared" si="3"/>
        <v>1.2926077281555661</v>
      </c>
      <c r="J19" s="11">
        <f t="shared" si="3"/>
        <v>1.425109873548233</v>
      </c>
    </row>
    <row r="20" spans="1:10" x14ac:dyDescent="0.3">
      <c r="A20" t="s">
        <v>31</v>
      </c>
    </row>
    <row r="21" spans="1:10" x14ac:dyDescent="0.3">
      <c r="A21" t="s">
        <v>30</v>
      </c>
      <c r="B21" s="9" t="s">
        <v>1</v>
      </c>
      <c r="C21" s="9" t="s">
        <v>29</v>
      </c>
      <c r="D21" s="1" t="s">
        <v>16</v>
      </c>
      <c r="E21" s="1" t="s">
        <v>28</v>
      </c>
      <c r="F21" s="1" t="s">
        <v>17</v>
      </c>
      <c r="G21" s="1" t="s">
        <v>18</v>
      </c>
      <c r="H21" s="1" t="s">
        <v>19</v>
      </c>
      <c r="I21" s="1" t="s">
        <v>27</v>
      </c>
      <c r="J21" s="1" t="s">
        <v>20</v>
      </c>
    </row>
    <row r="22" spans="1:10" x14ac:dyDescent="0.3">
      <c r="A22" t="str">
        <f>"N = "&amp;B22&amp;"; S="&amp;C22</f>
        <v>N = 2; S=2</v>
      </c>
      <c r="B22" s="9">
        <v>2</v>
      </c>
      <c r="C22" s="10">
        <v>2</v>
      </c>
      <c r="D22" s="11">
        <f>J8/$J$8</f>
        <v>1</v>
      </c>
      <c r="E22" s="11">
        <f t="shared" ref="E22:J22" si="4">K8/$J$8</f>
        <v>0.97341317205435107</v>
      </c>
      <c r="F22" s="11">
        <f t="shared" si="4"/>
        <v>0.89625046587979984</v>
      </c>
      <c r="G22" s="11">
        <f t="shared" si="4"/>
        <v>0.8887427652738078</v>
      </c>
      <c r="H22" s="11">
        <f t="shared" si="4"/>
        <v>0.86239157293578816</v>
      </c>
      <c r="I22" s="11">
        <f t="shared" si="4"/>
        <v>0.85359481970097795</v>
      </c>
      <c r="J22" s="11">
        <f t="shared" si="4"/>
        <v>0.84841865047631204</v>
      </c>
    </row>
    <row r="23" spans="1:10" x14ac:dyDescent="0.3">
      <c r="A23" t="str">
        <f t="shared" ref="A23:A24" si="5">"N = "&amp;B23&amp;"; S="&amp;C23</f>
        <v>N = 4; S=2</v>
      </c>
      <c r="B23" s="1">
        <v>4</v>
      </c>
      <c r="C23" s="10">
        <v>2</v>
      </c>
      <c r="D23" s="11">
        <f>J10/$J$10</f>
        <v>1</v>
      </c>
      <c r="E23" s="11">
        <f t="shared" ref="E23:J23" si="6">K10/$J$10</f>
        <v>0.93450801354112933</v>
      </c>
      <c r="F23" s="11">
        <f t="shared" si="6"/>
        <v>0.88283196568137112</v>
      </c>
      <c r="G23" s="11">
        <f t="shared" si="6"/>
        <v>0.86746434199037026</v>
      </c>
      <c r="H23" s="11">
        <f t="shared" si="6"/>
        <v>0.87066637195588448</v>
      </c>
      <c r="I23" s="11">
        <f t="shared" si="6"/>
        <v>0.87138867051423863</v>
      </c>
      <c r="J23" s="11">
        <f t="shared" si="6"/>
        <v>0.89855837626337964</v>
      </c>
    </row>
    <row r="24" spans="1:10" x14ac:dyDescent="0.3">
      <c r="A24" t="str">
        <f t="shared" si="5"/>
        <v>N = 2; S=4</v>
      </c>
      <c r="B24" s="1">
        <v>2</v>
      </c>
      <c r="C24" s="10">
        <v>4</v>
      </c>
      <c r="D24" s="11">
        <f>J12/$J$12</f>
        <v>1</v>
      </c>
      <c r="E24" s="11">
        <f t="shared" ref="E24:J24" si="7">K12/$J$12</f>
        <v>0.98473923121847584</v>
      </c>
      <c r="F24" s="11">
        <f t="shared" si="7"/>
        <v>0.95752731043118555</v>
      </c>
      <c r="G24" s="11">
        <f t="shared" si="7"/>
        <v>0.9433565100321244</v>
      </c>
      <c r="H24" s="11">
        <f t="shared" si="7"/>
        <v>0.8298294241792824</v>
      </c>
      <c r="I24" s="11">
        <f t="shared" si="7"/>
        <v>0.86579320106915425</v>
      </c>
      <c r="J24" s="11">
        <f t="shared" si="7"/>
        <v>0.95454360392473814</v>
      </c>
    </row>
  </sheetData>
  <mergeCells count="6">
    <mergeCell ref="I11:I12"/>
    <mergeCell ref="I7:I8"/>
    <mergeCell ref="I9:I10"/>
    <mergeCell ref="A7:B7"/>
    <mergeCell ref="C7:D7"/>
    <mergeCell ref="E7:F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B41" sqref="B4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Диаграммы</vt:lpstr>
      </vt:variant>
      <vt:variant>
        <vt:i4>3</vt:i4>
      </vt:variant>
    </vt:vector>
  </HeadingPairs>
  <TitlesOfParts>
    <vt:vector size="5" baseType="lpstr">
      <vt:lpstr>Лист1</vt:lpstr>
      <vt:lpstr>Лист2</vt:lpstr>
      <vt:lpstr>Диаграмма3</vt:lpstr>
      <vt:lpstr>Диаграмма1</vt:lpstr>
      <vt:lpstr>Диаграмма2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Evgeniy Kozinov</dc:creator>
  <cp:lastModifiedBy>Evgeniy Kozinov</cp:lastModifiedBy>
  <cp:lastPrinted>2022-01-13T06:16:16Z</cp:lastPrinted>
  <dcterms:created xsi:type="dcterms:W3CDTF">2015-06-05T18:19:34Z</dcterms:created>
  <dcterms:modified xsi:type="dcterms:W3CDTF">2022-06-29T15:56:22Z</dcterms:modified>
</cp:coreProperties>
</file>